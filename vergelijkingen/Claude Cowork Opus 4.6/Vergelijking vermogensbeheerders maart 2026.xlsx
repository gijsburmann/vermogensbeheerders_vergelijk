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zicht" sheetId="1" state="visible" r:id="rId3"/>
    <sheet name="Kosten" sheetId="2" state="visible" r:id="rId4"/>
    <sheet name="Rendementen" sheetId="3" state="visible" r:id="rId5"/>
    <sheet name="Vermogensontwikkeling" sheetId="4" state="visible" r:id="rId6"/>
    <sheet name="Kosten Kinderen" sheetId="5" state="visible" r:id="rId7"/>
    <sheet name="Onttrekkinge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<sst xmlns="http://schemas.openxmlformats.org/spreadsheetml/2006/main" count="246" uniqueCount="149">
  <si>
    <t xml:space="preserve">Vergelijking Vermogensbeheerders – Maart 2026</t>
  </si>
  <si>
    <t xml:space="preserve">Opgesteld door Claude AI op basis van beschikbare informatie van Stoic, Index People, Brand New Day en ING</t>
  </si>
  <si>
    <t xml:space="preserve">Stoic</t>
  </si>
  <si>
    <t xml:space="preserve">Index People</t>
  </si>
  <si>
    <t xml:space="preserve">Brand New Day</t>
  </si>
  <si>
    <t xml:space="preserve">ING</t>
  </si>
  <si>
    <t xml:space="preserve">Type beheerder</t>
  </si>
  <si>
    <t xml:space="preserve">Passief</t>
  </si>
  <si>
    <t xml:space="preserve">Actief/Passief</t>
  </si>
  <si>
    <t xml:space="preserve">Risicoprofiel</t>
  </si>
  <si>
    <t xml:space="preserve">Stoic 100 (Lang)</t>
  </si>
  <si>
    <t xml:space="preserve">Zeer offensief (P7)</t>
  </si>
  <si>
    <t xml:space="preserve">Zeer offensief</t>
  </si>
  <si>
    <t xml:space="preserve">Zeer offensief (Actueel)</t>
  </si>
  <si>
    <t xml:space="preserve">Aandelen allocatie</t>
  </si>
  <si>
    <t xml:space="preserve">100%</t>
  </si>
  <si>
    <t xml:space="preserve">~90%</t>
  </si>
  <si>
    <t xml:space="preserve">~88%</t>
  </si>
  <si>
    <t xml:space="preserve">Beleggingsstrategie</t>
  </si>
  <si>
    <t xml:space="preserve">100% aandelen
(MSCI ACWI IMI)</t>
  </si>
  <si>
    <t xml:space="preserve">GDP-gewogen
indexbeleggen</t>
  </si>
  <si>
    <t xml:space="preserve">Breed gespreid
indexbeleggen</t>
  </si>
  <si>
    <t xml:space="preserve">Actieve selectie
+ indexfondsen</t>
  </si>
  <si>
    <t xml:space="preserve">Aantal fondsen</t>
  </si>
  <si>
    <t xml:space="preserve">2</t>
  </si>
  <si>
    <t xml:space="preserve">8</t>
  </si>
  <si>
    <t xml:space="preserve">~5</t>
  </si>
  <si>
    <t xml:space="preserve">~15</t>
  </si>
  <si>
    <t xml:space="preserve">Benchmark</t>
  </si>
  <si>
    <t xml:space="preserve">MSCI ACWI IMI
Net TR (EUR)</t>
  </si>
  <si>
    <t xml:space="preserve">Samengesteld
(GDP-gewogen)</t>
  </si>
  <si>
    <t xml:space="preserve">Samengesteld
(marktgewogen)</t>
  </si>
  <si>
    <t xml:space="preserve">Samengesteld
(intern)</t>
  </si>
  <si>
    <t xml:space="preserve">Bewaarinstelling</t>
  </si>
  <si>
    <t xml:space="preserve">Saxo Bank</t>
  </si>
  <si>
    <t xml:space="preserve">BinckBank/Saxo Bank</t>
  </si>
  <si>
    <t xml:space="preserve">Brand New Day (eigen)</t>
  </si>
  <si>
    <t xml:space="preserve">ING Bank</t>
  </si>
  <si>
    <t xml:space="preserve">AFM vergunning</t>
  </si>
  <si>
    <t xml:space="preserve">Ja</t>
  </si>
  <si>
    <t xml:space="preserve">Ja (bankvergunning)</t>
  </si>
  <si>
    <t xml:space="preserve">Min. inleg</t>
  </si>
  <si>
    <t xml:space="preserve">Geen</t>
  </si>
  <si>
    <t xml:space="preserve">€500k (Private Banking)</t>
  </si>
  <si>
    <t xml:space="preserve">Onttrekkingskosten</t>
  </si>
  <si>
    <t xml:space="preserve">Geen extra kosten</t>
  </si>
  <si>
    <t xml:space="preserve">BTW over beheervergoeding</t>
  </si>
  <si>
    <t xml:space="preserve">Ja (21%)</t>
  </si>
  <si>
    <t xml:space="preserve">Nee (vrijgesteld)</t>
  </si>
  <si>
    <t xml:space="preserve">Nee</t>
  </si>
  <si>
    <t xml:space="preserve">Nee (in servicefee)</t>
  </si>
  <si>
    <t xml:space="preserve">Dividendbelasting teruggaaf</t>
  </si>
  <si>
    <t xml:space="preserve">~0,30% p.j.
(via IB-aangifte)</t>
  </si>
  <si>
    <t xml:space="preserve">Niet vermeld</t>
  </si>
  <si>
    <t xml:space="preserve">~0,50% voordeel
(intern verrekend)</t>
  </si>
  <si>
    <t xml:space="preserve">Legenda:</t>
  </si>
  <si>
    <t xml:space="preserve">Rood gemarkeerde cellen = ontbrekende informatie, ingevuld met realistische aanname</t>
  </si>
  <si>
    <t xml:space="preserve">Kostenvergelijking – bij €2.400.000 belegd vermogen</t>
  </si>
  <si>
    <t xml:space="preserve">Kostensoort</t>
  </si>
  <si>
    <t xml:space="preserve">Beheervergoeding aanbieder</t>
  </si>
  <si>
    <t xml:space="preserve">  waarvan BTW</t>
  </si>
  <si>
    <t xml:space="preserve">Fondskosten (lopende kosten)</t>
  </si>
  <si>
    <t xml:space="preserve">Bewaarloon / platformkosten</t>
  </si>
  <si>
    <t xml:space="preserve">Transactiekosten</t>
  </si>
  <si>
    <t xml:space="preserve">Totale kosten (TCO)</t>
  </si>
  <si>
    <t xml:space="preserve">Kosten in euro per jaar</t>
  </si>
  <si>
    <t xml:space="preserve">Totale jaarlijkse kosten</t>
  </si>
  <si>
    <t xml:space="preserve">Beheervergoeding staffel</t>
  </si>
  <si>
    <t xml:space="preserve">Vermogensschijf</t>
  </si>
  <si>
    <t xml:space="preserve">Tot €250.000</t>
  </si>
  <si>
    <t xml:space="preserve">0,50%</t>
  </si>
  <si>
    <t xml:space="preserve">0,70%</t>
  </si>
  <si>
    <t xml:space="preserve">0,34%</t>
  </si>
  <si>
    <t xml:space="preserve">0,65%</t>
  </si>
  <si>
    <t xml:space="preserve">€250k - €1.000k</t>
  </si>
  <si>
    <t xml:space="preserve">0,40%</t>
  </si>
  <si>
    <t xml:space="preserve">€1.000k - €2.500k</t>
  </si>
  <si>
    <t xml:space="preserve">0,36%</t>
  </si>
  <si>
    <t xml:space="preserve">0,38%</t>
  </si>
  <si>
    <t xml:space="preserve">€2.500k - €5.000k</t>
  </si>
  <si>
    <t xml:space="preserve">0,30%</t>
  </si>
  <si>
    <t xml:space="preserve">0,27%</t>
  </si>
  <si>
    <t xml:space="preserve">0,24%</t>
  </si>
  <si>
    <t xml:space="preserve">&gt;€5.000k</t>
  </si>
  <si>
    <t xml:space="preserve">0,25%</t>
  </si>
  <si>
    <t xml:space="preserve">0,16%</t>
  </si>
  <si>
    <t xml:space="preserve">0,15%</t>
  </si>
  <si>
    <t xml:space="preserve">Productkosten</t>
  </si>
  <si>
    <t xml:space="preserve">Kosten derden</t>
  </si>
  <si>
    <t xml:space="preserve">Kosten aanbieder</t>
  </si>
  <si>
    <t xml:space="preserve">Netto Rendementen Per Jaar – Zeer Offensief / 100% Aandelen</t>
  </si>
  <si>
    <t xml:space="preserve">Jaar</t>
  </si>
  <si>
    <t xml:space="preserve">Gemiddeld Rendement Per Jaar (bron: OVM Partners)</t>
  </si>
  <si>
    <t xml:space="preserve">Periode</t>
  </si>
  <si>
    <t xml:space="preserve">3 jaar</t>
  </si>
  <si>
    <t xml:space="preserve">N/B</t>
  </si>
  <si>
    <t xml:space="preserve">5 jaar</t>
  </si>
  <si>
    <t xml:space="preserve">7 jaar</t>
  </si>
  <si>
    <t xml:space="preserve">10 jaar</t>
  </si>
  <si>
    <t xml:space="preserve">12 jaar</t>
  </si>
  <si>
    <t xml:space="preserve">Bron gemiddeld rendement: OVM Partners vergelijking maart 2026</t>
  </si>
  <si>
    <t xml:space="preserve">ING niet opgenomen in OVM vergelijking</t>
  </si>
  <si>
    <t xml:space="preserve">Vermogensontwikkeling – Startbedrag €2.400.000</t>
  </si>
  <si>
    <t xml:space="preserve">Aanvang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</si>
  <si>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</si>
  <si>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</si>
  <si>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</si>
  <si>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</si>
  <si>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</si>
  <si>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</si>
  <si>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</si>
  <si>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</si>
  <si>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</si>
  <si>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</si>
  <si>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</si>
  <si>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</si>
  <si>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OVM eindwaarden (referentie):</t>
  </si>
  <si>
    <t xml:space="preserve">Eindwaarde 2025</t>
  </si>
  <si>
    <t xml:space="preserve">Kosten voor kinderen – €38.000 per kind per jaar</t>
  </si>
  <si>
    <t xml:space="preserve">Inleg per kind per jaar</t>
  </si>
  <si>
    <t xml:space="preserve">€38.000</t>
  </si>
  <si>
    <t xml:space="preserve">Beheervergoeding</t>
  </si>
  <si>
    <t xml:space="preserve">Fondskosten</t>
  </si>
  <si>
    <t xml:space="preserve">0,06%</t>
  </si>
  <si>
    <t xml:space="preserve">0,17%</t>
  </si>
  <si>
    <t xml:space="preserve">0,87%</t>
  </si>
  <si>
    <t xml:space="preserve">0,56%</t>
  </si>
  <si>
    <t xml:space="preserve">0,51%</t>
  </si>
  <si>
    <t xml:space="preserve">1,52%</t>
  </si>
  <si>
    <t xml:space="preserve">Kosten per jaar (€)</t>
  </si>
  <si>
    <t xml:space="preserve">€213</t>
  </si>
  <si>
    <t xml:space="preserve">€331</t>
  </si>
  <si>
    <t xml:space="preserve">€194</t>
  </si>
  <si>
    <t xml:space="preserve">€578</t>
  </si>
  <si>
    <t xml:space="preserve">Stortingskosten</t>
  </si>
  <si>
    <t xml:space="preserve">Betaalrekening vereist</t>
  </si>
  <si>
    <t xml:space="preserve">Onttrekkingsscenario's – €240.000 per jaar</t>
  </si>
  <si>
    <t xml:space="preserve">Scenario</t>
  </si>
  <si>
    <t xml:space="preserve">Jaarlijks €240k</t>
  </si>
  <si>
    <t xml:space="preserve">Halfjaarlijks €120k</t>
  </si>
  <si>
    <t xml:space="preserve">Per kwartaal €60k</t>
  </si>
  <si>
    <t xml:space="preserve">Maandelijks €20k</t>
  </si>
  <si>
    <t xml:space="preserve">Automatisch onttrekken</t>
  </si>
  <si>
    <t xml:space="preserve">Ja, mogelijk</t>
  </si>
  <si>
    <t xml:space="preserve">Opmerking</t>
  </si>
  <si>
    <t xml:space="preserve">Transactiekosten
zitten in TCO</t>
  </si>
  <si>
    <t xml:space="preserve">Geen transactie-
kosten vermeld</t>
  </si>
  <si>
    <t xml:space="preserve">Geen extra
kosten vermeld</t>
  </si>
  <si>
    <t xml:space="preserve">Alle kosten in
servicefee verwerkt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</si>
</sst>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\€#,##0"/>
    <numFmt numFmtId="167" formatCode="0"/>
    <numFmt numFmtId="168" formatCode="0.0%"/>
    <numFmt numFmtId="169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CC0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9F9F9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F9F9F9"/>
      </patternFill>
    </fill>
    <fill>
      <patternFill patternType="solid">
        <fgColor rgb="FFFFC7CE"/>
        <bgColor rgb="FFD9D9D9"/>
      </patternFill>
    </fill>
    <fill>
      <patternFill patternType="solid">
        <fgColor rgb="FFD6E4F0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/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78787"/>
      <rgbColor rgb="FF9999FF"/>
      <rgbColor rgb="FF993366"/>
      <rgbColor rgb="FFF9F9F9"/>
      <rgbColor rgb="FFD6E4F0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000"/>
      <rgbColor rgb="FFFF9900"/>
      <rgbColor rgb="FFED7D31"/>
      <rgbColor rgb="FF666666"/>
      <rgbColor rgb="FFA5A5A5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Vergelijking Op Basis Van Kosten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Kosten!B23</c:f>
              <c:strCache>
                <c:ptCount val="1"/>
                <c:pt idx="0">
                  <c:v>Productkosten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Kosten!$A$24:$A$27</c:f>
              <c:strCache>
                <c:ptCount val="4"/>
                <c:pt idx="0">
                  <c:v>Stoic</c:v>
                </c:pt>
                <c:pt idx="1">
                  <c:v>Index People</c:v>
                </c:pt>
                <c:pt idx="2">
                  <c:v>Brand New Day</c:v>
                </c:pt>
                <c:pt idx="3">
                  <c:v>ING</c:v>
                </c:pt>
              </c:strCache>
            </c:strRef>
          </c:cat>
          <c:val>
            <c:numRef>
              <c:f>Kosten!$B$24:$B$27</c:f>
              <c:numCache>
                <c:formatCode>0.00%</c:formatCode>
                <c:ptCount val="4"/>
                <c:pt idx="0">
                  <c:v>0.0004</c:v>
                </c:pt>
                <c:pt idx="1">
                  <c:v>0.0017</c:v>
                </c:pt>
                <c:pt idx="2">
                  <c:v>0.0017</c:v>
                </c:pt>
                <c:pt idx="3">
                  <c:v>0.0087</c:v>
                </c:pt>
              </c:numCache>
            </c:numRef>
          </c:val>
        </c:ser>
        <c:ser>
          <c:idx val="1"/>
          <c:order val="1"/>
          <c:tx>
            <c:strRef>
              <c:f>Kosten!C23</c:f>
              <c:strCache>
                <c:ptCount val="1"/>
                <c:pt idx="0">
                  <c:v>Kosten derden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Kosten!$A$24:$A$27</c:f>
              <c:strCache>
                <c:ptCount val="4"/>
                <c:pt idx="0">
                  <c:v>Stoic</c:v>
                </c:pt>
                <c:pt idx="1">
                  <c:v>Index People</c:v>
                </c:pt>
                <c:pt idx="2">
                  <c:v>Brand New Day</c:v>
                </c:pt>
                <c:pt idx="3">
                  <c:v>ING</c:v>
                </c:pt>
              </c:strCache>
            </c:strRef>
          </c:cat>
          <c:val>
            <c:numRef>
              <c:f>Kosten!$C$24:$C$27</c:f>
              <c:numCache>
                <c:formatCode>0.00%</c:formatCode>
                <c:ptCount val="4"/>
                <c:pt idx="0">
                  <c:v>0.0006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Kosten!D23</c:f>
              <c:strCache>
                <c:ptCount val="1"/>
                <c:pt idx="0">
                  <c:v>Kosten aanbieder</c:v>
                </c:pt>
              </c:strCache>
            </c:strRef>
          </c:tx>
          <c:spPr>
            <a:solidFill>
              <a:srgbClr val="a5a5a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Kosten!$A$24:$A$27</c:f>
              <c:strCache>
                <c:ptCount val="4"/>
                <c:pt idx="0">
                  <c:v>Stoic</c:v>
                </c:pt>
                <c:pt idx="1">
                  <c:v>Index People</c:v>
                </c:pt>
                <c:pt idx="2">
                  <c:v>Brand New Day</c:v>
                </c:pt>
                <c:pt idx="3">
                  <c:v>ING</c:v>
                </c:pt>
              </c:strCache>
            </c:strRef>
          </c:cat>
          <c:val>
            <c:numRef>
              <c:f>Kosten!$D$24:$D$27</c:f>
              <c:numCache>
                <c:formatCode>0.00%</c:formatCode>
                <c:ptCount val="4"/>
                <c:pt idx="0">
                  <c:v>0.0035</c:v>
                </c:pt>
                <c:pt idx="1">
                  <c:v>0.00451</c:v>
                </c:pt>
                <c:pt idx="2">
                  <c:v>0.0034</c:v>
                </c:pt>
                <c:pt idx="3">
                  <c:v>0.0034</c:v>
                </c:pt>
              </c:numCache>
            </c:numRef>
          </c:val>
        </c:ser>
        <c:gapWidth val="150"/>
        <c:overlap val="100"/>
        <c:axId val="94060116"/>
        <c:axId val="45220501"/>
      </c:barChart>
      <c:catAx>
        <c:axId val="940601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220501"/>
        <c:crosses val="autoZero"/>
        <c:auto val="1"/>
        <c:lblAlgn val="ctr"/>
        <c:lblOffset val="100"/>
        <c:noMultiLvlLbl val="0"/>
      </c:catAx>
      <c:valAx>
        <c:axId val="452205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06011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Netto Rendementen Per Jaar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Rendementen!B3</c:f>
              <c:strCache>
                <c:ptCount val="1"/>
                <c:pt idx="0">
                  <c:v>Stoic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Rendementen!$A$4:$A$15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Rendementen!$B$4:$B$15</c:f>
              <c:numCache>
                <c:formatCode>0.0%</c:formatCode>
                <c:ptCount val="12"/>
                <c:pt idx="0">
                  <c:v>0.05</c:v>
                </c:pt>
                <c:pt idx="1">
                  <c:v>0.025</c:v>
                </c:pt>
                <c:pt idx="2">
                  <c:v>0.12</c:v>
                </c:pt>
                <c:pt idx="3">
                  <c:v>0.08</c:v>
                </c:pt>
                <c:pt idx="4">
                  <c:v>-0.055</c:v>
                </c:pt>
                <c:pt idx="5">
                  <c:v>0.29</c:v>
                </c:pt>
                <c:pt idx="6">
                  <c:v>0.065</c:v>
                </c:pt>
                <c:pt idx="7">
                  <c:v>0.27</c:v>
                </c:pt>
                <c:pt idx="8">
                  <c:v>-0.135</c:v>
                </c:pt>
                <c:pt idx="9">
                  <c:v>0.18</c:v>
                </c:pt>
                <c:pt idx="10">
                  <c:v>0.25</c:v>
                </c:pt>
                <c:pt idx="11">
                  <c:v>0.071</c:v>
                </c:pt>
              </c:numCache>
            </c:numRef>
          </c:val>
        </c:ser>
        <c:ser>
          <c:idx val="1"/>
          <c:order val="1"/>
          <c:tx>
            <c:strRef>
              <c:f>Rendementen!C3</c:f>
              <c:strCache>
                <c:ptCount val="1"/>
                <c:pt idx="0">
                  <c:v>Index People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Rendementen!$A$4:$A$15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Rendementen!$C$4:$C$15</c:f>
              <c:numCache>
                <c:formatCode>0.0%</c:formatCode>
                <c:ptCount val="12"/>
                <c:pt idx="0">
                  <c:v>0.045</c:v>
                </c:pt>
                <c:pt idx="1">
                  <c:v>0.02</c:v>
                </c:pt>
                <c:pt idx="2">
                  <c:v>0.13</c:v>
                </c:pt>
                <c:pt idx="3">
                  <c:v>0.085</c:v>
                </c:pt>
                <c:pt idx="4">
                  <c:v>-0.06</c:v>
                </c:pt>
                <c:pt idx="5">
                  <c:v>0.23</c:v>
                </c:pt>
                <c:pt idx="6">
                  <c:v>0.055</c:v>
                </c:pt>
                <c:pt idx="7">
                  <c:v>0.225</c:v>
                </c:pt>
                <c:pt idx="8">
                  <c:v>-0.145</c:v>
                </c:pt>
                <c:pt idx="9">
                  <c:v>0.17</c:v>
                </c:pt>
                <c:pt idx="10">
                  <c:v>0.195</c:v>
                </c:pt>
                <c:pt idx="11">
                  <c:v>0.105</c:v>
                </c:pt>
              </c:numCache>
            </c:numRef>
          </c:val>
        </c:ser>
        <c:ser>
          <c:idx val="2"/>
          <c:order val="2"/>
          <c:tx>
            <c:strRef>
              <c:f>Rendementen!D3</c:f>
              <c:strCache>
                <c:ptCount val="1"/>
                <c:pt idx="0">
                  <c:v>Brand New Day</c:v>
                </c:pt>
              </c:strCache>
            </c:strRef>
          </c:tx>
          <c:spPr>
            <a:solidFill>
              <a:srgbClr val="a5a5a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Rendementen!$A$4:$A$15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Rendementen!$D$4:$D$15</c:f>
              <c:numCache>
                <c:formatCode>0.0%</c:formatCode>
                <c:ptCount val="12"/>
                <c:pt idx="0">
                  <c:v>0.05</c:v>
                </c:pt>
                <c:pt idx="1">
                  <c:v>0.025</c:v>
                </c:pt>
                <c:pt idx="2">
                  <c:v>0.11</c:v>
                </c:pt>
                <c:pt idx="3">
                  <c:v>0.075</c:v>
                </c:pt>
                <c:pt idx="4">
                  <c:v>-0.09</c:v>
                </c:pt>
                <c:pt idx="5">
                  <c:v>0.24</c:v>
                </c:pt>
                <c:pt idx="6">
                  <c:v>0.106</c:v>
                </c:pt>
                <c:pt idx="7">
                  <c:v>0.225</c:v>
                </c:pt>
                <c:pt idx="8">
                  <c:v>-0.135</c:v>
                </c:pt>
                <c:pt idx="9">
                  <c:v>0.165</c:v>
                </c:pt>
                <c:pt idx="10">
                  <c:v>0.18</c:v>
                </c:pt>
                <c:pt idx="11">
                  <c:v>0.08</c:v>
                </c:pt>
              </c:numCache>
            </c:numRef>
          </c:val>
        </c:ser>
        <c:ser>
          <c:idx val="3"/>
          <c:order val="3"/>
          <c:tx>
            <c:strRef>
              <c:f>Rendementen!E3</c:f>
              <c:strCache>
                <c:ptCount val="1"/>
                <c:pt idx="0">
                  <c:v>ING</c:v>
                </c:pt>
              </c:strCache>
            </c:strRef>
          </c:tx>
          <c:spPr>
            <a:solidFill>
              <a:srgbClr val="ffc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Rendementen!$A$4:$A$15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Rendementen!$E$4:$E$15</c:f>
              <c:numCache>
                <c:formatCode>0.0%</c:formatCode>
                <c:ptCount val="12"/>
                <c:pt idx="0">
                  <c:v>0.035</c:v>
                </c:pt>
                <c:pt idx="1">
                  <c:v>0.01</c:v>
                </c:pt>
                <c:pt idx="2">
                  <c:v>0.09</c:v>
                </c:pt>
                <c:pt idx="3">
                  <c:v>0.06</c:v>
                </c:pt>
                <c:pt idx="4">
                  <c:v>-0.075</c:v>
                </c:pt>
                <c:pt idx="5">
                  <c:v>0.21</c:v>
                </c:pt>
                <c:pt idx="6">
                  <c:v>0.035</c:v>
                </c:pt>
                <c:pt idx="7">
                  <c:v>0.185</c:v>
                </c:pt>
                <c:pt idx="8">
                  <c:v>-0.105</c:v>
                </c:pt>
                <c:pt idx="9">
                  <c:v>0.176</c:v>
                </c:pt>
                <c:pt idx="10">
                  <c:v>0.165</c:v>
                </c:pt>
                <c:pt idx="11">
                  <c:v>0.05</c:v>
                </c:pt>
              </c:numCache>
            </c:numRef>
          </c:val>
        </c:ser>
        <c:gapWidth val="150"/>
        <c:overlap val="0"/>
        <c:axId val="82088675"/>
        <c:axId val="49925987"/>
      </c:barChart>
      <c:catAx>
        <c:axId val="8208867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925987"/>
        <c:crosses val="autoZero"/>
        <c:auto val="1"/>
        <c:lblAlgn val="ctr"/>
        <c:lblOffset val="100"/>
        <c:noMultiLvlLbl val="0"/>
      </c:catAx>
      <c:valAx>
        <c:axId val="49925987"/>
        <c:scaling>
          <c:orientation val="minMax"/>
          <c:max val="0.35"/>
          <c:min val="-0.2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08867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Gemiddeld Rendement Per Jaar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Rendementen!B18</c:f>
              <c:strCache>
                <c:ptCount val="1"/>
                <c:pt idx="0">
                  <c:v>Stoic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Rendementen!$A$19:$A$23</c:f>
              <c:strCache>
                <c:ptCount val="5"/>
                <c:pt idx="0">
                  <c:v>3 jaar</c:v>
                </c:pt>
                <c:pt idx="1">
                  <c:v>5 jaar</c:v>
                </c:pt>
                <c:pt idx="2">
                  <c:v>7 jaar</c:v>
                </c:pt>
                <c:pt idx="3">
                  <c:v>10 jaar</c:v>
                </c:pt>
                <c:pt idx="4">
                  <c:v>12 jaar</c:v>
                </c:pt>
              </c:strCache>
            </c:strRef>
          </c:cat>
          <c:val>
            <c:numRef>
              <c:f>Rendementen!$B$19:$B$23</c:f>
              <c:numCache>
                <c:formatCode>0.0%</c:formatCode>
                <c:ptCount val="5"/>
                <c:pt idx="0">
                  <c:v>0.168</c:v>
                </c:pt>
                <c:pt idx="1">
                  <c:v>0.128</c:v>
                </c:pt>
                <c:pt idx="2">
                  <c:v>0.109</c:v>
                </c:pt>
                <c:pt idx="3">
                  <c:v>0.1</c:v>
                </c:pt>
                <c:pt idx="4">
                  <c:v>0.089</c:v>
                </c:pt>
              </c:numCache>
            </c:numRef>
          </c:val>
        </c:ser>
        <c:ser>
          <c:idx val="1"/>
          <c:order val="1"/>
          <c:tx>
            <c:strRef>
              <c:f>Rendementen!C18</c:f>
              <c:strCache>
                <c:ptCount val="1"/>
                <c:pt idx="0">
                  <c:v>Index People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Rendementen!$A$19:$A$23</c:f>
              <c:strCache>
                <c:ptCount val="5"/>
                <c:pt idx="0">
                  <c:v>3 jaar</c:v>
                </c:pt>
                <c:pt idx="1">
                  <c:v>5 jaar</c:v>
                </c:pt>
                <c:pt idx="2">
                  <c:v>7 jaar</c:v>
                </c:pt>
                <c:pt idx="3">
                  <c:v>10 jaar</c:v>
                </c:pt>
                <c:pt idx="4">
                  <c:v>12 jaar</c:v>
                </c:pt>
              </c:strCache>
            </c:strRef>
          </c:cat>
          <c:val>
            <c:numRef>
              <c:f>Rendementen!$C$19:$C$23</c:f>
              <c:numCache>
                <c:formatCode>0.0%</c:formatCode>
                <c:ptCount val="5"/>
                <c:pt idx="0">
                  <c:v>0.159</c:v>
                </c:pt>
                <c:pt idx="1">
                  <c:v>0.121</c:v>
                </c:pt>
                <c:pt idx="2">
                  <c:v>0.104</c:v>
                </c:pt>
                <c:pt idx="3">
                  <c:v>0.096</c:v>
                </c:pt>
                <c:pt idx="4">
                  <c:v>0.088</c:v>
                </c:pt>
              </c:numCache>
            </c:numRef>
          </c:val>
        </c:ser>
        <c:ser>
          <c:idx val="2"/>
          <c:order val="2"/>
          <c:tx>
            <c:strRef>
              <c:f>Rendementen!D18</c:f>
              <c:strCache>
                <c:ptCount val="1"/>
                <c:pt idx="0">
                  <c:v>Brand New Day</c:v>
                </c:pt>
              </c:strCache>
            </c:strRef>
          </c:tx>
          <c:spPr>
            <a:solidFill>
              <a:srgbClr val="a5a5a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Rendementen!$A$19:$A$23</c:f>
              <c:strCache>
                <c:ptCount val="5"/>
                <c:pt idx="0">
                  <c:v>3 jaar</c:v>
                </c:pt>
                <c:pt idx="1">
                  <c:v>5 jaar</c:v>
                </c:pt>
                <c:pt idx="2">
                  <c:v>7 jaar</c:v>
                </c:pt>
                <c:pt idx="3">
                  <c:v>10 jaar</c:v>
                </c:pt>
                <c:pt idx="4">
                  <c:v>12 jaar</c:v>
                </c:pt>
              </c:strCache>
            </c:strRef>
          </c:cat>
          <c:val>
            <c:numRef>
              <c:f>Rendementen!$D$19:$D$23</c:f>
              <c:numCache>
                <c:formatCode>0.0%</c:formatCode>
                <c:ptCount val="5"/>
                <c:pt idx="0">
                  <c:v>0.147</c:v>
                </c:pt>
                <c:pt idx="1">
                  <c:v>0.112</c:v>
                </c:pt>
                <c:pt idx="2">
                  <c:v>0.101</c:v>
                </c:pt>
                <c:pt idx="3">
                  <c:v>0.09</c:v>
                </c:pt>
                <c:pt idx="4">
                  <c:v>0.088</c:v>
                </c:pt>
              </c:numCache>
            </c:numRef>
          </c:val>
        </c:ser>
        <c:gapWidth val="150"/>
        <c:overlap val="0"/>
        <c:axId val="44976286"/>
        <c:axId val="17746236"/>
      </c:barChart>
      <c:catAx>
        <c:axId val="449762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7746236"/>
        <c:crosses val="autoZero"/>
        <c:auto val="1"/>
        <c:lblAlgn val="ctr"/>
        <c:lblOffset val="100"/>
        <c:noMultiLvlLbl val="0"/>
      </c:catAx>
      <c:valAx>
        <c:axId val="177462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97628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Vermogensontwikkeling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Vermogensontwikkeling!B3</c:f>
              <c:strCache>
                <c:ptCount val="1"/>
                <c:pt idx="0">
                  <c:v>Stoic</c:v>
                </c:pt>
              </c:strCache>
            </c:strRef>
          </c:tx>
          <c:spPr>
            <a:solidFill>
              <a:srgbClr val="2e75b6"/>
            </a:solidFill>
            <a:ln w="248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Vermogensontwikkeling!$A$4:$A$16</c:f>
              <c:strCache>
                <c:ptCount val="13"/>
                <c:pt idx="0">
                  <c:v>Aanvang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strCache>
            </c:strRef>
          </c:cat>
          <c:val>
            <c:numRef>
              <c:f>Vermogensontwikkeling!$B$4:$B$16</c:f>
              <c:numCache>
                <c:formatCode>\€#,##0</c:formatCode>
                <c:ptCount val="13"/>
                <c:pt idx="0">
                  <c:v>2400000</c:v>
                </c:pt>
                <c:pt idx="1">
                  <c:v>2520000</c:v>
                </c:pt>
                <c:pt idx="2">
                  <c:v>2583000</c:v>
                </c:pt>
                <c:pt idx="3">
                  <c:v>2892960</c:v>
                </c:pt>
                <c:pt idx="4">
                  <c:v>3124397</c:v>
                </c:pt>
                <c:pt idx="5">
                  <c:v>2952555</c:v>
                </c:pt>
                <c:pt idx="6">
                  <c:v>3808796</c:v>
                </c:pt>
                <c:pt idx="7">
                  <c:v>4056368</c:v>
                </c:pt>
                <c:pt idx="8">
                  <c:v>5151587</c:v>
                </c:pt>
                <c:pt idx="9">
                  <c:v>4456123</c:v>
                </c:pt>
                <c:pt idx="10">
                  <c:v>5258225</c:v>
                </c:pt>
                <c:pt idx="11">
                  <c:v>6572781</c:v>
                </c:pt>
                <c:pt idx="12">
                  <c:v>7039448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Vermogensontwikkeling!C3</c:f>
              <c:strCache>
                <c:ptCount val="1"/>
                <c:pt idx="0">
                  <c:v>Index People</c:v>
                </c:pt>
              </c:strCache>
            </c:strRef>
          </c:tx>
          <c:spPr>
            <a:solidFill>
              <a:srgbClr val="ed7d31"/>
            </a:solidFill>
            <a:ln w="248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Vermogensontwikkeling!$A$4:$A$16</c:f>
              <c:strCache>
                <c:ptCount val="13"/>
                <c:pt idx="0">
                  <c:v>Aanvang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strCache>
            </c:strRef>
          </c:cat>
          <c:val>
            <c:numRef>
              <c:f>Vermogensontwikkeling!$C$4:$C$16</c:f>
              <c:numCache>
                <c:formatCode>\€#,##0</c:formatCode>
                <c:ptCount val="13"/>
                <c:pt idx="0">
                  <c:v>2400000</c:v>
                </c:pt>
                <c:pt idx="1">
                  <c:v>2508000</c:v>
                </c:pt>
                <c:pt idx="2">
                  <c:v>2558160</c:v>
                </c:pt>
                <c:pt idx="3">
                  <c:v>2890721</c:v>
                </c:pt>
                <c:pt idx="4">
                  <c:v>3136432</c:v>
                </c:pt>
                <c:pt idx="5">
                  <c:v>2948246</c:v>
                </c:pt>
                <c:pt idx="6">
                  <c:v>3626343</c:v>
                </c:pt>
                <c:pt idx="7">
                  <c:v>3825792</c:v>
                </c:pt>
                <c:pt idx="8">
                  <c:v>4686595</c:v>
                </c:pt>
                <c:pt idx="9">
                  <c:v>4007038</c:v>
                </c:pt>
                <c:pt idx="10">
                  <c:v>4688235</c:v>
                </c:pt>
                <c:pt idx="11">
                  <c:v>5602441</c:v>
                </c:pt>
                <c:pt idx="12">
                  <c:v>6190697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Vermogensontwikkeling!D3</c:f>
              <c:strCache>
                <c:ptCount val="1"/>
                <c:pt idx="0">
                  <c:v>Brand New Day</c:v>
                </c:pt>
              </c:strCache>
            </c:strRef>
          </c:tx>
          <c:spPr>
            <a:solidFill>
              <a:srgbClr val="a5a5a5"/>
            </a:solidFill>
            <a:ln w="248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Vermogensontwikkeling!$A$4:$A$16</c:f>
              <c:strCache>
                <c:ptCount val="13"/>
                <c:pt idx="0">
                  <c:v>Aanvang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strCache>
            </c:strRef>
          </c:cat>
          <c:val>
            <c:numRef>
              <c:f>Vermogensontwikkeling!$D$4:$D$16</c:f>
              <c:numCache>
                <c:formatCode>\€#,##0</c:formatCode>
                <c:ptCount val="13"/>
                <c:pt idx="0">
                  <c:v>2400000</c:v>
                </c:pt>
                <c:pt idx="1">
                  <c:v>2520000</c:v>
                </c:pt>
                <c:pt idx="2">
                  <c:v>2583000</c:v>
                </c:pt>
                <c:pt idx="3">
                  <c:v>2867130</c:v>
                </c:pt>
                <c:pt idx="4">
                  <c:v>3082165</c:v>
                </c:pt>
                <c:pt idx="5">
                  <c:v>2804770</c:v>
                </c:pt>
                <c:pt idx="6">
                  <c:v>3477915</c:v>
                </c:pt>
                <c:pt idx="7">
                  <c:v>3846574</c:v>
                </c:pt>
                <c:pt idx="8">
                  <c:v>4712053</c:v>
                </c:pt>
                <c:pt idx="9">
                  <c:v>4075926</c:v>
                </c:pt>
                <c:pt idx="10">
                  <c:v>4748453</c:v>
                </c:pt>
                <c:pt idx="11">
                  <c:v>5603175</c:v>
                </c:pt>
                <c:pt idx="12">
                  <c:v>6051429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Vermogensontwikkeling!E3</c:f>
              <c:strCache>
                <c:ptCount val="1"/>
                <c:pt idx="0">
                  <c:v>ING</c:v>
                </c:pt>
              </c:strCache>
            </c:strRef>
          </c:tx>
          <c:spPr>
            <a:solidFill>
              <a:srgbClr val="ffc000"/>
            </a:solidFill>
            <a:ln w="248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Vermogensontwikkeling!$A$4:$A$16</c:f>
              <c:strCache>
                <c:ptCount val="13"/>
                <c:pt idx="0">
                  <c:v>Aanvang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strCache>
            </c:strRef>
          </c:cat>
          <c:val>
            <c:numRef>
              <c:f>Vermogensontwikkeling!$E$4:$E$16</c:f>
              <c:numCache>
                <c:formatCode>\€#,##0</c:formatCode>
                <c:ptCount val="13"/>
                <c:pt idx="0">
                  <c:v>2400000</c:v>
                </c:pt>
                <c:pt idx="1">
                  <c:v>2484000</c:v>
                </c:pt>
                <c:pt idx="2">
                  <c:v>2508840</c:v>
                </c:pt>
                <c:pt idx="3">
                  <c:v>2734636</c:v>
                </c:pt>
                <c:pt idx="4">
                  <c:v>2898714</c:v>
                </c:pt>
                <c:pt idx="5">
                  <c:v>2681310</c:v>
                </c:pt>
                <c:pt idx="6">
                  <c:v>3244385</c:v>
                </c:pt>
                <c:pt idx="7">
                  <c:v>3357939</c:v>
                </c:pt>
                <c:pt idx="8">
                  <c:v>3979158</c:v>
                </c:pt>
                <c:pt idx="9">
                  <c:v>3561346</c:v>
                </c:pt>
                <c:pt idx="10">
                  <c:v>4188143</c:v>
                </c:pt>
                <c:pt idx="11">
                  <c:v>4879186</c:v>
                </c:pt>
                <c:pt idx="12">
                  <c:v>5123146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8697073"/>
        <c:axId val="36595028"/>
      </c:lineChart>
      <c:catAx>
        <c:axId val="786970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595028"/>
        <c:crosses val="autoZero"/>
        <c:auto val="1"/>
        <c:lblAlgn val="ctr"/>
        <c:lblOffset val="100"/>
        <c:noMultiLvlLbl val="0"/>
      </c:catAx>
      <c:valAx>
        <c:axId val="365950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€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69707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27</xdr:row>
      <xdr:rowOff>160920</xdr:rowOff>
    </xdr:from>
    <xdr:to>
      <xdr:col>4</xdr:col>
      <xdr:colOff>871200</xdr:colOff>
      <xdr:row>46</xdr:row>
      <xdr:rowOff>140760</xdr:rowOff>
    </xdr:to>
    <xdr:graphicFrame>
      <xdr:nvGraphicFramePr>
        <xdr:cNvPr id="0" name="Chart 1"/>
        <xdr:cNvGraphicFramePr/>
      </xdr:nvGraphicFramePr>
      <xdr:xfrm>
        <a:off x="0" y="533412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26</xdr:row>
      <xdr:rowOff>160920</xdr:rowOff>
    </xdr:from>
    <xdr:to>
      <xdr:col>12</xdr:col>
      <xdr:colOff>19440</xdr:colOff>
      <xdr:row>53</xdr:row>
      <xdr:rowOff>56880</xdr:rowOff>
    </xdr:to>
    <xdr:graphicFrame>
      <xdr:nvGraphicFramePr>
        <xdr:cNvPr id="1" name="Chart 1"/>
        <xdr:cNvGraphicFramePr/>
      </xdr:nvGraphicFramePr>
      <xdr:xfrm>
        <a:off x="0" y="5143680"/>
        <a:ext cx="100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43</xdr:row>
      <xdr:rowOff>160560</xdr:rowOff>
    </xdr:from>
    <xdr:to>
      <xdr:col>8</xdr:col>
      <xdr:colOff>305280</xdr:colOff>
      <xdr:row>70</xdr:row>
      <xdr:rowOff>56520</xdr:rowOff>
    </xdr:to>
    <xdr:graphicFrame>
      <xdr:nvGraphicFramePr>
        <xdr:cNvPr id="2" name="Chart 2"/>
        <xdr:cNvGraphicFramePr/>
      </xdr:nvGraphicFramePr>
      <xdr:xfrm>
        <a:off x="0" y="838188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48600</xdr:rowOff>
    </xdr:from>
    <xdr:to>
      <xdr:col>11</xdr:col>
      <xdr:colOff>348840</xdr:colOff>
      <xdr:row>46</xdr:row>
      <xdr:rowOff>135000</xdr:rowOff>
    </xdr:to>
    <xdr:graphicFrame>
      <xdr:nvGraphicFramePr>
        <xdr:cNvPr id="3" name="Chart 1"/>
        <xdr:cNvGraphicFramePr/>
      </xdr:nvGraphicFramePr>
      <xdr:xfrm>
        <a:off x="0" y="4000680"/>
        <a:ext cx="100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5" min="2" style="0" width="2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/>
      <c r="B4" s="3" t="s">
        <v>2</v>
      </c>
      <c r="C4" s="3" t="s">
        <v>3</v>
      </c>
      <c r="D4" s="3" t="s">
        <v>4</v>
      </c>
      <c r="E4" s="3" t="s">
        <v>5</v>
      </c>
    </row>
    <row r="5" customFormat="false" ht="15" hidden="false" customHeight="false" outlineLevel="0" collapsed="false">
      <c r="A5" s="4" t="s">
        <v>6</v>
      </c>
      <c r="B5" s="5" t="s">
        <v>7</v>
      </c>
      <c r="C5" s="5" t="s">
        <v>7</v>
      </c>
      <c r="D5" s="5" t="s">
        <v>7</v>
      </c>
      <c r="E5" s="5" t="s">
        <v>8</v>
      </c>
    </row>
    <row r="6" customFormat="false" ht="15" hidden="false" customHeight="false" outlineLevel="0" collapsed="false">
      <c r="A6" s="6" t="s">
        <v>9</v>
      </c>
      <c r="B6" s="7" t="s">
        <v>10</v>
      </c>
      <c r="C6" s="7" t="s">
        <v>11</v>
      </c>
      <c r="D6" s="7" t="s">
        <v>12</v>
      </c>
      <c r="E6" s="7" t="s">
        <v>13</v>
      </c>
    </row>
    <row r="7" customFormat="false" ht="15" hidden="false" customHeight="false" outlineLevel="0" collapsed="false">
      <c r="A7" s="4" t="s">
        <v>14</v>
      </c>
      <c r="B7" s="5" t="s">
        <v>15</v>
      </c>
      <c r="C7" s="5" t="s">
        <v>16</v>
      </c>
      <c r="D7" s="8" t="s">
        <v>17</v>
      </c>
      <c r="E7" s="8" t="s">
        <v>16</v>
      </c>
    </row>
    <row r="8" customFormat="false" ht="23.85" hidden="false" customHeight="false" outlineLevel="0" collapsed="false">
      <c r="A8" s="6" t="s">
        <v>18</v>
      </c>
      <c r="B8" s="7" t="s">
        <v>19</v>
      </c>
      <c r="C8" s="7" t="s">
        <v>20</v>
      </c>
      <c r="D8" s="7" t="s">
        <v>21</v>
      </c>
      <c r="E8" s="7" t="s">
        <v>22</v>
      </c>
    </row>
    <row r="9" customFormat="false" ht="15" hidden="false" customHeight="false" outlineLevel="0" collapsed="false">
      <c r="A9" s="4" t="s">
        <v>23</v>
      </c>
      <c r="B9" s="5" t="s">
        <v>24</v>
      </c>
      <c r="C9" s="5" t="s">
        <v>25</v>
      </c>
      <c r="D9" s="8" t="s">
        <v>26</v>
      </c>
      <c r="E9" s="8" t="s">
        <v>27</v>
      </c>
    </row>
    <row r="10" customFormat="false" ht="23.85" hidden="false" customHeight="false" outlineLevel="0" collapsed="false">
      <c r="A10" s="6" t="s">
        <v>28</v>
      </c>
      <c r="B10" s="7" t="s">
        <v>29</v>
      </c>
      <c r="C10" s="7" t="s">
        <v>30</v>
      </c>
      <c r="D10" s="8" t="s">
        <v>31</v>
      </c>
      <c r="E10" s="8" t="s">
        <v>32</v>
      </c>
    </row>
    <row r="11" customFormat="false" ht="15" hidden="false" customHeight="false" outlineLevel="0" collapsed="false">
      <c r="A11" s="4" t="s">
        <v>33</v>
      </c>
      <c r="B11" s="5" t="s">
        <v>34</v>
      </c>
      <c r="C11" s="5" t="s">
        <v>35</v>
      </c>
      <c r="D11" s="5" t="s">
        <v>36</v>
      </c>
      <c r="E11" s="5" t="s">
        <v>37</v>
      </c>
    </row>
    <row r="12" customFormat="false" ht="15" hidden="false" customHeight="false" outlineLevel="0" collapsed="false">
      <c r="A12" s="6" t="s">
        <v>38</v>
      </c>
      <c r="B12" s="7" t="s">
        <v>39</v>
      </c>
      <c r="C12" s="7" t="s">
        <v>39</v>
      </c>
      <c r="D12" s="7" t="s">
        <v>39</v>
      </c>
      <c r="E12" s="7" t="s">
        <v>40</v>
      </c>
    </row>
    <row r="13" customFormat="false" ht="15" hidden="false" customHeight="false" outlineLevel="0" collapsed="false">
      <c r="A13" s="4" t="s">
        <v>41</v>
      </c>
      <c r="B13" s="5" t="s">
        <v>42</v>
      </c>
      <c r="C13" s="5" t="s">
        <v>42</v>
      </c>
      <c r="D13" s="5" t="s">
        <v>42</v>
      </c>
      <c r="E13" s="5" t="s">
        <v>43</v>
      </c>
    </row>
    <row r="14" customFormat="false" ht="15" hidden="false" customHeight="false" outlineLevel="0" collapsed="false">
      <c r="A14" s="6" t="s">
        <v>44</v>
      </c>
      <c r="B14" s="7" t="s">
        <v>45</v>
      </c>
      <c r="C14" s="7" t="s">
        <v>45</v>
      </c>
      <c r="D14" s="7" t="s">
        <v>45</v>
      </c>
      <c r="E14" s="7" t="s">
        <v>45</v>
      </c>
    </row>
    <row r="15" customFormat="false" ht="15" hidden="false" customHeight="false" outlineLevel="0" collapsed="false">
      <c r="A15" s="4" t="s">
        <v>46</v>
      </c>
      <c r="B15" s="5" t="s">
        <v>47</v>
      </c>
      <c r="C15" s="5" t="s">
        <v>48</v>
      </c>
      <c r="D15" s="8" t="s">
        <v>49</v>
      </c>
      <c r="E15" s="5" t="s">
        <v>50</v>
      </c>
    </row>
    <row r="16" customFormat="false" ht="23.85" hidden="false" customHeight="false" outlineLevel="0" collapsed="false">
      <c r="A16" s="6" t="s">
        <v>51</v>
      </c>
      <c r="B16" s="7" t="s">
        <v>52</v>
      </c>
      <c r="C16" s="8" t="s">
        <v>53</v>
      </c>
      <c r="D16" s="7" t="s">
        <v>54</v>
      </c>
      <c r="E16" s="8" t="s">
        <v>53</v>
      </c>
    </row>
    <row r="18" customFormat="false" ht="15" hidden="false" customHeight="false" outlineLevel="0" collapsed="false">
      <c r="A18" s="9" t="s">
        <v>55</v>
      </c>
    </row>
    <row r="19" customFormat="false" ht="15" hidden="false" customHeight="false" outlineLevel="0" collapsed="false">
      <c r="A19" s="10" t="s">
        <v>56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20"/>
  </cols>
  <sheetData>
    <row r="1" customFormat="false" ht="17.35" hidden="false" customHeight="false" outlineLevel="0" collapsed="false">
      <c r="A1" s="1" t="s">
        <v>57</v>
      </c>
      <c r="B1" s="1"/>
      <c r="C1" s="1"/>
      <c r="D1" s="1"/>
      <c r="E1" s="1"/>
    </row>
    <row r="3" customFormat="false" ht="15" hidden="false" customHeight="false" outlineLevel="0" collapsed="false">
      <c r="A3" s="3" t="s">
        <v>58</v>
      </c>
      <c r="B3" s="3" t="s">
        <v>2</v>
      </c>
      <c r="C3" s="3" t="s">
        <v>3</v>
      </c>
      <c r="D3" s="3" t="s">
        <v>4</v>
      </c>
      <c r="E3" s="3" t="s">
        <v>5</v>
      </c>
    </row>
    <row r="4" customFormat="false" ht="15" hidden="false" customHeight="false" outlineLevel="0" collapsed="false">
      <c r="A4" s="11" t="s">
        <v>59</v>
      </c>
      <c r="B4" s="12" t="n">
        <v>0.0035</v>
      </c>
      <c r="C4" s="12" t="n">
        <v>0.00451</v>
      </c>
      <c r="D4" s="12" t="n">
        <v>0.0034</v>
      </c>
      <c r="E4" s="12" t="n">
        <v>0.0034</v>
      </c>
    </row>
    <row r="5" customFormat="false" ht="15" hidden="false" customHeight="false" outlineLevel="0" collapsed="false">
      <c r="A5" s="13" t="s">
        <v>60</v>
      </c>
      <c r="B5" s="14" t="n">
        <v>0.0006</v>
      </c>
      <c r="C5" s="14" t="n">
        <v>0</v>
      </c>
      <c r="D5" s="14" t="n">
        <v>0</v>
      </c>
      <c r="E5" s="14" t="n">
        <v>0</v>
      </c>
    </row>
    <row r="6" customFormat="false" ht="15" hidden="false" customHeight="false" outlineLevel="0" collapsed="false">
      <c r="A6" s="11" t="s">
        <v>61</v>
      </c>
      <c r="B6" s="12" t="n">
        <v>0.0004</v>
      </c>
      <c r="C6" s="12" t="n">
        <v>0.0017</v>
      </c>
      <c r="D6" s="12" t="n">
        <v>0.0017</v>
      </c>
      <c r="E6" s="12" t="n">
        <v>0.0087</v>
      </c>
    </row>
    <row r="7" customFormat="false" ht="15" hidden="false" customHeight="false" outlineLevel="0" collapsed="false">
      <c r="A7" s="15" t="s">
        <v>62</v>
      </c>
      <c r="B7" s="14" t="n">
        <v>0.0003</v>
      </c>
      <c r="C7" s="14" t="n">
        <v>0</v>
      </c>
      <c r="D7" s="16" t="n">
        <v>0</v>
      </c>
      <c r="E7" s="16" t="n">
        <v>0</v>
      </c>
    </row>
    <row r="8" customFormat="false" ht="15" hidden="false" customHeight="false" outlineLevel="0" collapsed="false">
      <c r="A8" s="11" t="s">
        <v>63</v>
      </c>
      <c r="B8" s="12" t="n">
        <v>0.0003</v>
      </c>
      <c r="C8" s="16" t="n">
        <v>0</v>
      </c>
      <c r="D8" s="16" t="n">
        <v>0</v>
      </c>
      <c r="E8" s="16" t="n">
        <v>0</v>
      </c>
    </row>
    <row r="9" customFormat="false" ht="15" hidden="false" customHeight="false" outlineLevel="0" collapsed="false">
      <c r="A9" s="17" t="s">
        <v>64</v>
      </c>
      <c r="B9" s="18" t="n">
        <v>0.0045</v>
      </c>
      <c r="C9" s="18" t="n">
        <v>0.00621</v>
      </c>
      <c r="D9" s="18" t="n">
        <v>0.0051</v>
      </c>
      <c r="E9" s="18" t="n">
        <v>0.0121</v>
      </c>
    </row>
    <row r="11" customFormat="false" ht="15" hidden="false" customHeight="false" outlineLevel="0" collapsed="false">
      <c r="A11" s="19" t="s">
        <v>65</v>
      </c>
      <c r="B11" s="20" t="s">
        <v>2</v>
      </c>
      <c r="C11" s="20" t="s">
        <v>3</v>
      </c>
      <c r="D11" s="20" t="s">
        <v>4</v>
      </c>
      <c r="E11" s="20" t="s">
        <v>5</v>
      </c>
    </row>
    <row r="12" customFormat="false" ht="15" hidden="false" customHeight="false" outlineLevel="0" collapsed="false">
      <c r="A12" s="6" t="s">
        <v>66</v>
      </c>
      <c r="B12" s="21" t="n">
        <v>10790</v>
      </c>
      <c r="C12" s="22" t="n">
        <v>14904</v>
      </c>
      <c r="D12" s="21" t="n">
        <v>12240</v>
      </c>
      <c r="E12" s="21" t="n">
        <v>29040</v>
      </c>
    </row>
    <row r="14" customFormat="false" ht="15" hidden="false" customHeight="false" outlineLevel="0" collapsed="false">
      <c r="A14" s="23" t="s">
        <v>67</v>
      </c>
      <c r="B14" s="24"/>
      <c r="C14" s="24"/>
      <c r="D14" s="24"/>
      <c r="E14" s="24"/>
    </row>
    <row r="15" customFormat="false" ht="15" hidden="false" customHeight="false" outlineLevel="0" collapsed="false">
      <c r="A15" s="25" t="s">
        <v>68</v>
      </c>
      <c r="B15" s="25" t="s">
        <v>2</v>
      </c>
      <c r="C15" s="25" t="s">
        <v>3</v>
      </c>
      <c r="D15" s="25" t="s">
        <v>4</v>
      </c>
      <c r="E15" s="25" t="s">
        <v>5</v>
      </c>
    </row>
    <row r="16" customFormat="false" ht="15" hidden="false" customHeight="false" outlineLevel="0" collapsed="false">
      <c r="A16" s="11" t="s">
        <v>69</v>
      </c>
      <c r="B16" s="5" t="s">
        <v>70</v>
      </c>
      <c r="C16" s="5" t="s">
        <v>71</v>
      </c>
      <c r="D16" s="5" t="s">
        <v>72</v>
      </c>
      <c r="E16" s="8" t="s">
        <v>73</v>
      </c>
    </row>
    <row r="17" customFormat="false" ht="15" hidden="false" customHeight="false" outlineLevel="0" collapsed="false">
      <c r="A17" s="15" t="s">
        <v>74</v>
      </c>
      <c r="B17" s="7" t="s">
        <v>75</v>
      </c>
      <c r="C17" s="7" t="s">
        <v>70</v>
      </c>
      <c r="D17" s="7" t="s">
        <v>72</v>
      </c>
      <c r="E17" s="8" t="s">
        <v>73</v>
      </c>
    </row>
    <row r="18" customFormat="false" ht="15" hidden="false" customHeight="false" outlineLevel="0" collapsed="false">
      <c r="A18" s="11" t="s">
        <v>76</v>
      </c>
      <c r="B18" s="5" t="s">
        <v>77</v>
      </c>
      <c r="C18" s="5" t="s">
        <v>78</v>
      </c>
      <c r="D18" s="5" t="s">
        <v>72</v>
      </c>
      <c r="E18" s="5" t="s">
        <v>72</v>
      </c>
    </row>
    <row r="19" customFormat="false" ht="15" hidden="false" customHeight="false" outlineLevel="0" collapsed="false">
      <c r="A19" s="15" t="s">
        <v>79</v>
      </c>
      <c r="B19" s="7" t="s">
        <v>80</v>
      </c>
      <c r="C19" s="7" t="s">
        <v>81</v>
      </c>
      <c r="D19" s="7" t="s">
        <v>72</v>
      </c>
      <c r="E19" s="8" t="s">
        <v>82</v>
      </c>
    </row>
    <row r="20" customFormat="false" ht="15" hidden="false" customHeight="false" outlineLevel="0" collapsed="false">
      <c r="A20" s="11" t="s">
        <v>83</v>
      </c>
      <c r="B20" s="8" t="s">
        <v>84</v>
      </c>
      <c r="C20" s="5" t="s">
        <v>85</v>
      </c>
      <c r="D20" s="5" t="s">
        <v>72</v>
      </c>
      <c r="E20" s="8" t="s">
        <v>86</v>
      </c>
    </row>
    <row r="23" customFormat="false" ht="15" hidden="false" customHeight="false" outlineLevel="0" collapsed="false">
      <c r="A23" s="7"/>
      <c r="B23" s="26" t="s">
        <v>87</v>
      </c>
      <c r="C23" s="26" t="s">
        <v>88</v>
      </c>
      <c r="D23" s="26" t="s">
        <v>89</v>
      </c>
    </row>
    <row r="24" customFormat="false" ht="15" hidden="false" customHeight="false" outlineLevel="0" collapsed="false">
      <c r="A24" s="6" t="s">
        <v>2</v>
      </c>
      <c r="B24" s="14" t="n">
        <v>0.0004</v>
      </c>
      <c r="C24" s="14" t="n">
        <v>0.0006</v>
      </c>
      <c r="D24" s="14" t="n">
        <v>0.0035</v>
      </c>
    </row>
    <row r="25" customFormat="false" ht="15" hidden="false" customHeight="false" outlineLevel="0" collapsed="false">
      <c r="A25" s="6" t="s">
        <v>3</v>
      </c>
      <c r="B25" s="14" t="n">
        <v>0.0017</v>
      </c>
      <c r="C25" s="14" t="n">
        <v>0</v>
      </c>
      <c r="D25" s="14" t="n">
        <v>0.00451</v>
      </c>
    </row>
    <row r="26" customFormat="false" ht="15" hidden="false" customHeight="false" outlineLevel="0" collapsed="false">
      <c r="A26" s="6" t="s">
        <v>4</v>
      </c>
      <c r="B26" s="14" t="n">
        <v>0.0017</v>
      </c>
      <c r="C26" s="14" t="n">
        <v>0</v>
      </c>
      <c r="D26" s="14" t="n">
        <v>0.0034</v>
      </c>
    </row>
    <row r="27" customFormat="false" ht="15" hidden="false" customHeight="false" outlineLevel="0" collapsed="false">
      <c r="A27" s="6" t="s">
        <v>5</v>
      </c>
      <c r="B27" s="14" t="n">
        <v>0.0087</v>
      </c>
      <c r="C27" s="14" t="n">
        <v>0</v>
      </c>
      <c r="D27" s="14" t="n">
        <v>0.0034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90</v>
      </c>
      <c r="B1" s="1"/>
      <c r="C1" s="1"/>
      <c r="D1" s="1"/>
      <c r="E1" s="1"/>
    </row>
    <row r="3" customFormat="false" ht="15" hidden="false" customHeight="false" outlineLevel="0" collapsed="false">
      <c r="A3" s="3" t="s">
        <v>91</v>
      </c>
      <c r="B3" s="3" t="s">
        <v>2</v>
      </c>
      <c r="C3" s="3" t="s">
        <v>3</v>
      </c>
      <c r="D3" s="3" t="s">
        <v>4</v>
      </c>
      <c r="E3" s="3" t="s">
        <v>5</v>
      </c>
    </row>
    <row r="4" customFormat="false" ht="15" hidden="false" customHeight="false" outlineLevel="0" collapsed="false">
      <c r="A4" s="27" t="n">
        <v>2014</v>
      </c>
      <c r="B4" s="28" t="n">
        <v>0.05</v>
      </c>
      <c r="C4" s="28" t="n">
        <v>0.045</v>
      </c>
      <c r="D4" s="28" t="n">
        <v>0.05</v>
      </c>
      <c r="E4" s="28" t="n">
        <v>0.035</v>
      </c>
    </row>
    <row r="5" customFormat="false" ht="15" hidden="false" customHeight="false" outlineLevel="0" collapsed="false">
      <c r="A5" s="29" t="n">
        <v>2015</v>
      </c>
      <c r="B5" s="28" t="n">
        <v>0.025</v>
      </c>
      <c r="C5" s="28" t="n">
        <v>0.02</v>
      </c>
      <c r="D5" s="28" t="n">
        <v>0.025</v>
      </c>
      <c r="E5" s="28" t="n">
        <v>0.01</v>
      </c>
    </row>
    <row r="6" customFormat="false" ht="15" hidden="false" customHeight="false" outlineLevel="0" collapsed="false">
      <c r="A6" s="27" t="n">
        <v>2016</v>
      </c>
      <c r="B6" s="28" t="n">
        <v>0.12</v>
      </c>
      <c r="C6" s="28" t="n">
        <v>0.13</v>
      </c>
      <c r="D6" s="28" t="n">
        <v>0.11</v>
      </c>
      <c r="E6" s="28" t="n">
        <v>0.09</v>
      </c>
    </row>
    <row r="7" customFormat="false" ht="15" hidden="false" customHeight="false" outlineLevel="0" collapsed="false">
      <c r="A7" s="29" t="n">
        <v>2017</v>
      </c>
      <c r="B7" s="28" t="n">
        <v>0.08</v>
      </c>
      <c r="C7" s="28" t="n">
        <v>0.085</v>
      </c>
      <c r="D7" s="28" t="n">
        <v>0.075</v>
      </c>
      <c r="E7" s="28" t="n">
        <v>0.06</v>
      </c>
    </row>
    <row r="8" customFormat="false" ht="15" hidden="false" customHeight="false" outlineLevel="0" collapsed="false">
      <c r="A8" s="27" t="n">
        <v>2018</v>
      </c>
      <c r="B8" s="28" t="n">
        <v>-0.055</v>
      </c>
      <c r="C8" s="28" t="n">
        <v>-0.06</v>
      </c>
      <c r="D8" s="30" t="n">
        <v>-0.09</v>
      </c>
      <c r="E8" s="28" t="n">
        <v>-0.075</v>
      </c>
    </row>
    <row r="9" customFormat="false" ht="15" hidden="false" customHeight="false" outlineLevel="0" collapsed="false">
      <c r="A9" s="29" t="n">
        <v>2019</v>
      </c>
      <c r="B9" s="28" t="n">
        <v>0.29</v>
      </c>
      <c r="C9" s="28" t="n">
        <v>0.23</v>
      </c>
      <c r="D9" s="28" t="n">
        <v>0.24</v>
      </c>
      <c r="E9" s="28" t="n">
        <v>0.21</v>
      </c>
    </row>
    <row r="10" customFormat="false" ht="15" hidden="false" customHeight="false" outlineLevel="0" collapsed="false">
      <c r="A10" s="27" t="n">
        <v>2020</v>
      </c>
      <c r="B10" s="28" t="n">
        <v>0.065</v>
      </c>
      <c r="C10" s="28" t="n">
        <v>0.055</v>
      </c>
      <c r="D10" s="30" t="n">
        <v>0.106</v>
      </c>
      <c r="E10" s="28" t="n">
        <v>0.035</v>
      </c>
    </row>
    <row r="11" customFormat="false" ht="15" hidden="false" customHeight="false" outlineLevel="0" collapsed="false">
      <c r="A11" s="29" t="n">
        <v>2021</v>
      </c>
      <c r="B11" s="28" t="n">
        <v>0.27</v>
      </c>
      <c r="C11" s="31" t="n">
        <v>0.225</v>
      </c>
      <c r="D11" s="31" t="n">
        <v>0.225</v>
      </c>
      <c r="E11" s="28" t="n">
        <v>0.185</v>
      </c>
    </row>
    <row r="12" customFormat="false" ht="15" hidden="false" customHeight="false" outlineLevel="0" collapsed="false">
      <c r="A12" s="27" t="n">
        <v>2022</v>
      </c>
      <c r="B12" s="28" t="n">
        <v>-0.135</v>
      </c>
      <c r="C12" s="28" t="n">
        <v>-0.145</v>
      </c>
      <c r="D12" s="28" t="n">
        <v>-0.135</v>
      </c>
      <c r="E12" s="28" t="n">
        <v>-0.105</v>
      </c>
    </row>
    <row r="13" customFormat="false" ht="15" hidden="false" customHeight="false" outlineLevel="0" collapsed="false">
      <c r="A13" s="29" t="n">
        <v>2023</v>
      </c>
      <c r="B13" s="28" t="n">
        <v>0.18</v>
      </c>
      <c r="C13" s="28" t="n">
        <v>0.17</v>
      </c>
      <c r="D13" s="28" t="n">
        <v>0.165</v>
      </c>
      <c r="E13" s="31" t="n">
        <v>0.176</v>
      </c>
    </row>
    <row r="14" customFormat="false" ht="15" hidden="false" customHeight="false" outlineLevel="0" collapsed="false">
      <c r="A14" s="27" t="n">
        <v>2024</v>
      </c>
      <c r="B14" s="28" t="n">
        <v>0.25</v>
      </c>
      <c r="C14" s="28" t="n">
        <v>0.195</v>
      </c>
      <c r="D14" s="28" t="n">
        <v>0.18</v>
      </c>
      <c r="E14" s="28" t="n">
        <v>0.165</v>
      </c>
    </row>
    <row r="15" customFormat="false" ht="15" hidden="false" customHeight="false" outlineLevel="0" collapsed="false">
      <c r="A15" s="29" t="n">
        <v>2025</v>
      </c>
      <c r="B15" s="28" t="n">
        <v>0.071</v>
      </c>
      <c r="C15" s="31" t="n">
        <v>0.105</v>
      </c>
      <c r="D15" s="28" t="n">
        <v>0.08</v>
      </c>
      <c r="E15" s="28" t="n">
        <v>0.05</v>
      </c>
    </row>
    <row r="17" customFormat="false" ht="15" hidden="false" customHeight="false" outlineLevel="0" collapsed="false">
      <c r="A17" s="23" t="s">
        <v>92</v>
      </c>
      <c r="B17" s="24"/>
      <c r="C17" s="24"/>
      <c r="D17" s="24"/>
      <c r="E17" s="24"/>
    </row>
    <row r="18" customFormat="false" ht="15" hidden="false" customHeight="false" outlineLevel="0" collapsed="false">
      <c r="A18" s="25" t="s">
        <v>93</v>
      </c>
      <c r="B18" s="25" t="s">
        <v>2</v>
      </c>
      <c r="C18" s="25" t="s">
        <v>3</v>
      </c>
      <c r="D18" s="25" t="s">
        <v>4</v>
      </c>
      <c r="E18" s="25" t="s">
        <v>5</v>
      </c>
    </row>
    <row r="19" customFormat="false" ht="15" hidden="false" customHeight="false" outlineLevel="0" collapsed="false">
      <c r="A19" s="11" t="s">
        <v>94</v>
      </c>
      <c r="B19" s="30" t="n">
        <v>0.168</v>
      </c>
      <c r="C19" s="30" t="n">
        <v>0.159</v>
      </c>
      <c r="D19" s="30" t="n">
        <v>0.147</v>
      </c>
      <c r="E19" s="8" t="s">
        <v>95</v>
      </c>
    </row>
    <row r="20" customFormat="false" ht="15" hidden="false" customHeight="false" outlineLevel="0" collapsed="false">
      <c r="A20" s="15" t="s">
        <v>96</v>
      </c>
      <c r="B20" s="31" t="n">
        <v>0.128</v>
      </c>
      <c r="C20" s="31" t="n">
        <v>0.121</v>
      </c>
      <c r="D20" s="31" t="n">
        <v>0.112</v>
      </c>
      <c r="E20" s="8" t="s">
        <v>95</v>
      </c>
    </row>
    <row r="21" customFormat="false" ht="15" hidden="false" customHeight="false" outlineLevel="0" collapsed="false">
      <c r="A21" s="11" t="s">
        <v>97</v>
      </c>
      <c r="B21" s="30" t="n">
        <v>0.109</v>
      </c>
      <c r="C21" s="30" t="n">
        <v>0.104</v>
      </c>
      <c r="D21" s="30" t="n">
        <v>0.101</v>
      </c>
      <c r="E21" s="8" t="s">
        <v>95</v>
      </c>
    </row>
    <row r="22" customFormat="false" ht="15" hidden="false" customHeight="false" outlineLevel="0" collapsed="false">
      <c r="A22" s="15" t="s">
        <v>98</v>
      </c>
      <c r="B22" s="31" t="n">
        <v>0.1</v>
      </c>
      <c r="C22" s="31" t="n">
        <v>0.096</v>
      </c>
      <c r="D22" s="31" t="n">
        <v>0.09</v>
      </c>
      <c r="E22" s="8" t="s">
        <v>95</v>
      </c>
    </row>
    <row r="23" customFormat="false" ht="15" hidden="false" customHeight="false" outlineLevel="0" collapsed="false">
      <c r="A23" s="11" t="s">
        <v>99</v>
      </c>
      <c r="B23" s="30" t="n">
        <v>0.089</v>
      </c>
      <c r="C23" s="30" t="n">
        <v>0.088</v>
      </c>
      <c r="D23" s="30" t="n">
        <v>0.088</v>
      </c>
      <c r="E23" s="8" t="s">
        <v>95</v>
      </c>
    </row>
    <row r="25" customFormat="false" ht="15" hidden="false" customHeight="false" outlineLevel="0" collapsed="false">
      <c r="A25" s="32" t="s">
        <v>100</v>
      </c>
    </row>
    <row r="26" customFormat="false" ht="15" hidden="false" customHeight="false" outlineLevel="0" collapsed="false">
      <c r="A26" s="33" t="s">
        <v>101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1" t="s">
        <v>102</v>
      </c>
      <c r="B1" s="1"/>
      <c r="C1" s="1"/>
      <c r="D1" s="1"/>
      <c r="E1" s="1"/>
    </row>
    <row r="3" customFormat="false" ht="15" hidden="false" customHeight="false" outlineLevel="0" collapsed="false">
      <c r="A3" s="3" t="s">
        <v>91</v>
      </c>
      <c r="B3" s="3" t="s">
        <v>2</v>
      </c>
      <c r="C3" s="3" t="s">
        <v>3</v>
      </c>
      <c r="D3" s="3" t="s">
        <v>4</v>
      </c>
      <c r="E3" s="3" t="s">
        <v>5</v>
      </c>
    </row>
    <row r="4" customFormat="false" ht="15" hidden="false" customHeight="false" outlineLevel="0" collapsed="false">
      <c r="A4" s="34" t="s">
        <v>103</v>
      </c>
      <c r="B4" s="35" t="n">
        <v>2400000</v>
      </c>
      <c r="C4" s="35" t="n">
        <v>2400000</v>
      </c>
      <c r="D4" s="35" t="n">
        <v>2400000</v>
      </c>
      <c r="E4" s="35" t="n">
        <v>2400000</v>
      </c>
    </row>
    <row r="5" customFormat="false" ht="15" hidden="false" customHeight="false" outlineLevel="0" collapsed="false">
      <c r="A5" s="26" t="s">
        <v>104</v>
      </c>
      <c r="B5" s="36" t="n">
        <v>2520000</v>
      </c>
      <c r="C5" s="36" t="n">
        <v>2508000</v>
      </c>
      <c r="D5" s="36" t="n">
        <v>2520000</v>
      </c>
      <c r="E5" s="36" t="n">
        <v>2484000</v>
      </c>
    </row>
    <row r="6" customFormat="false" ht="15" hidden="false" customHeight="false" outlineLevel="0" collapsed="false">
      <c r="A6" s="34" t="s">
        <v>105</v>
      </c>
      <c r="B6" s="36" t="n">
        <v>2583000</v>
      </c>
      <c r="C6" s="36" t="n">
        <v>2558160</v>
      </c>
      <c r="D6" s="36" t="n">
        <v>2583000</v>
      </c>
      <c r="E6" s="36" t="n">
        <v>2508840</v>
      </c>
    </row>
    <row r="7" customFormat="false" ht="15" hidden="false" customHeight="false" outlineLevel="0" collapsed="false">
      <c r="A7" s="26" t="s">
        <v>106</v>
      </c>
      <c r="B7" s="36" t="n">
        <v>2892960</v>
      </c>
      <c r="C7" s="36" t="n">
        <v>2890721</v>
      </c>
      <c r="D7" s="36" t="n">
        <v>2867130</v>
      </c>
      <c r="E7" s="36" t="n">
        <v>2734636</v>
      </c>
    </row>
    <row r="8" customFormat="false" ht="15" hidden="false" customHeight="false" outlineLevel="0" collapsed="false">
      <c r="A8" s="34" t="s">
        <v>107</v>
      </c>
      <c r="B8" s="36" t="n">
        <v>3124397</v>
      </c>
      <c r="C8" s="36" t="n">
        <v>3136432</v>
      </c>
      <c r="D8" s="36" t="n">
        <v>3082165</v>
      </c>
      <c r="E8" s="36" t="n">
        <v>2898714</v>
      </c>
    </row>
    <row r="9" customFormat="false" ht="15" hidden="false" customHeight="false" outlineLevel="0" collapsed="false">
      <c r="A9" s="26" t="s">
        <v>108</v>
      </c>
      <c r="B9" s="36" t="n">
        <v>2952555</v>
      </c>
      <c r="C9" s="36" t="n">
        <v>2948246</v>
      </c>
      <c r="D9" s="36" t="n">
        <v>2804770</v>
      </c>
      <c r="E9" s="36" t="n">
        <v>2681310</v>
      </c>
    </row>
    <row r="10" customFormat="false" ht="15" hidden="false" customHeight="false" outlineLevel="0" collapsed="false">
      <c r="A10" s="34" t="s">
        <v>109</v>
      </c>
      <c r="B10" s="36" t="n">
        <v>3808796</v>
      </c>
      <c r="C10" s="36" t="n">
        <v>3626343</v>
      </c>
      <c r="D10" s="36" t="n">
        <v>3477915</v>
      </c>
      <c r="E10" s="36" t="n">
        <v>3244385</v>
      </c>
    </row>
    <row r="11" customFormat="false" ht="15" hidden="false" customHeight="false" outlineLevel="0" collapsed="false">
      <c r="A11" s="26" t="s">
        <v>110</v>
      </c>
      <c r="B11" s="36" t="n">
        <v>4056368</v>
      </c>
      <c r="C11" s="36" t="n">
        <v>3825792</v>
      </c>
      <c r="D11" s="36" t="n">
        <v>3846574</v>
      </c>
      <c r="E11" s="36" t="n">
        <v>3357939</v>
      </c>
    </row>
    <row r="12" customFormat="false" ht="15" hidden="false" customHeight="false" outlineLevel="0" collapsed="false">
      <c r="A12" s="34" t="s">
        <v>111</v>
      </c>
      <c r="B12" s="36" t="n">
        <v>5151587</v>
      </c>
      <c r="C12" s="36" t="n">
        <v>4686595</v>
      </c>
      <c r="D12" s="36" t="n">
        <v>4712053</v>
      </c>
      <c r="E12" s="36" t="n">
        <v>3979158</v>
      </c>
    </row>
    <row r="13" customFormat="false" ht="15" hidden="false" customHeight="false" outlineLevel="0" collapsed="false">
      <c r="A13" s="26" t="s">
        <v>112</v>
      </c>
      <c r="B13" s="36" t="n">
        <v>4456123</v>
      </c>
      <c r="C13" s="36" t="n">
        <v>4007038</v>
      </c>
      <c r="D13" s="36" t="n">
        <v>4075926</v>
      </c>
      <c r="E13" s="36" t="n">
        <v>3561346</v>
      </c>
    </row>
    <row r="14" customFormat="false" ht="15" hidden="false" customHeight="false" outlineLevel="0" collapsed="false">
      <c r="A14" s="34" t="s">
        <v>113</v>
      </c>
      <c r="B14" s="36" t="n">
        <v>5258225</v>
      </c>
      <c r="C14" s="36" t="n">
        <v>4688235</v>
      </c>
      <c r="D14" s="36" t="n">
        <v>4748453</v>
      </c>
      <c r="E14" s="36" t="n">
        <v>4188143</v>
      </c>
    </row>
    <row r="15" customFormat="false" ht="15" hidden="false" customHeight="false" outlineLevel="0" collapsed="false">
      <c r="A15" s="26" t="s">
        <v>114</v>
      </c>
      <c r="B15" s="36" t="n">
        <v>6572781</v>
      </c>
      <c r="C15" s="36" t="n">
        <v>5602441</v>
      </c>
      <c r="D15" s="36" t="n">
        <v>5603175</v>
      </c>
      <c r="E15" s="36" t="n">
        <v>4879186</v>
      </c>
    </row>
    <row r="16" customFormat="false" ht="15" hidden="false" customHeight="false" outlineLevel="0" collapsed="false">
      <c r="A16" s="34" t="s">
        <v>115</v>
      </c>
      <c r="B16" s="35" t="n">
        <v>7039448</v>
      </c>
      <c r="C16" s="35" t="n">
        <v>6190697</v>
      </c>
      <c r="D16" s="35" t="n">
        <v>6051429</v>
      </c>
      <c r="E16" s="36" t="n">
        <v>5123146</v>
      </c>
    </row>
    <row r="18" customFormat="false" ht="15" hidden="false" customHeight="false" outlineLevel="0" collapsed="false">
      <c r="A18" s="23" t="s">
        <v>116</v>
      </c>
      <c r="B18" s="24"/>
      <c r="C18" s="24"/>
      <c r="D18" s="24"/>
      <c r="E18" s="24"/>
    </row>
    <row r="19" customFormat="false" ht="23.85" hidden="false" customHeight="false" outlineLevel="0" collapsed="false">
      <c r="A19" s="6" t="s">
        <v>117</v>
      </c>
      <c r="B19" s="21" t="n">
        <v>6262507</v>
      </c>
      <c r="C19" s="21" t="n">
        <v>5559664</v>
      </c>
      <c r="D19" s="21" t="n">
        <v>5526122</v>
      </c>
      <c r="E19" s="37" t="s">
        <v>95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5" min="2" style="0" width="20"/>
  </cols>
  <sheetData>
    <row r="1" customFormat="false" ht="17.35" hidden="false" customHeight="false" outlineLevel="0" collapsed="false">
      <c r="A1" s="1" t="s">
        <v>118</v>
      </c>
      <c r="B1" s="1"/>
      <c r="C1" s="1"/>
      <c r="D1" s="1"/>
      <c r="E1" s="1"/>
    </row>
    <row r="3" customFormat="false" ht="15" hidden="false" customHeight="false" outlineLevel="0" collapsed="false">
      <c r="A3" s="3"/>
      <c r="B3" s="3" t="s">
        <v>2</v>
      </c>
      <c r="C3" s="3" t="s">
        <v>3</v>
      </c>
      <c r="D3" s="3" t="s">
        <v>4</v>
      </c>
      <c r="E3" s="3" t="s">
        <v>5</v>
      </c>
    </row>
    <row r="4" customFormat="false" ht="15" hidden="false" customHeight="false" outlineLevel="0" collapsed="false">
      <c r="A4" s="11" t="s">
        <v>119</v>
      </c>
      <c r="B4" s="5" t="s">
        <v>120</v>
      </c>
      <c r="C4" s="5" t="s">
        <v>120</v>
      </c>
      <c r="D4" s="5" t="s">
        <v>120</v>
      </c>
      <c r="E4" s="5" t="s">
        <v>120</v>
      </c>
    </row>
    <row r="5" customFormat="false" ht="15" hidden="false" customHeight="false" outlineLevel="0" collapsed="false">
      <c r="A5" s="15" t="s">
        <v>121</v>
      </c>
      <c r="B5" s="7" t="s">
        <v>70</v>
      </c>
      <c r="C5" s="7" t="s">
        <v>71</v>
      </c>
      <c r="D5" s="7" t="s">
        <v>72</v>
      </c>
      <c r="E5" s="7" t="s">
        <v>73</v>
      </c>
    </row>
    <row r="6" customFormat="false" ht="15" hidden="false" customHeight="false" outlineLevel="0" collapsed="false">
      <c r="A6" s="11" t="s">
        <v>122</v>
      </c>
      <c r="B6" s="5" t="s">
        <v>123</v>
      </c>
      <c r="C6" s="5" t="s">
        <v>124</v>
      </c>
      <c r="D6" s="5" t="s">
        <v>124</v>
      </c>
      <c r="E6" s="5" t="s">
        <v>125</v>
      </c>
    </row>
    <row r="7" customFormat="false" ht="15" hidden="false" customHeight="false" outlineLevel="0" collapsed="false">
      <c r="A7" s="6" t="s">
        <v>64</v>
      </c>
      <c r="B7" s="26" t="s">
        <v>126</v>
      </c>
      <c r="C7" s="26" t="s">
        <v>125</v>
      </c>
      <c r="D7" s="26" t="s">
        <v>127</v>
      </c>
      <c r="E7" s="26" t="s">
        <v>128</v>
      </c>
    </row>
    <row r="8" customFormat="false" ht="15" hidden="false" customHeight="false" outlineLevel="0" collapsed="false">
      <c r="A8" s="4" t="s">
        <v>129</v>
      </c>
      <c r="B8" s="34" t="s">
        <v>130</v>
      </c>
      <c r="C8" s="34" t="s">
        <v>131</v>
      </c>
      <c r="D8" s="34" t="s">
        <v>132</v>
      </c>
      <c r="E8" s="34" t="s">
        <v>133</v>
      </c>
    </row>
    <row r="9" customFormat="false" ht="15" hidden="false" customHeight="false" outlineLevel="0" collapsed="false">
      <c r="A9" s="15" t="s">
        <v>134</v>
      </c>
      <c r="B9" s="7" t="s">
        <v>42</v>
      </c>
      <c r="C9" s="8" t="s">
        <v>42</v>
      </c>
      <c r="D9" s="8" t="s">
        <v>42</v>
      </c>
      <c r="E9" s="7" t="s">
        <v>42</v>
      </c>
    </row>
    <row r="10" customFormat="false" ht="15" hidden="false" customHeight="false" outlineLevel="0" collapsed="false">
      <c r="A10" s="11" t="s">
        <v>41</v>
      </c>
      <c r="B10" s="5" t="s">
        <v>42</v>
      </c>
      <c r="C10" s="5" t="s">
        <v>42</v>
      </c>
      <c r="D10" s="5" t="s">
        <v>42</v>
      </c>
      <c r="E10" s="5" t="s">
        <v>135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20"/>
  </cols>
  <sheetData>
    <row r="1" customFormat="false" ht="17.35" hidden="false" customHeight="false" outlineLevel="0" collapsed="false">
      <c r="A1" s="1" t="s">
        <v>136</v>
      </c>
      <c r="B1" s="1"/>
      <c r="C1" s="1"/>
      <c r="D1" s="1"/>
      <c r="E1" s="1"/>
    </row>
    <row r="3" customFormat="false" ht="15" hidden="false" customHeight="false" outlineLevel="0" collapsed="false">
      <c r="A3" s="3" t="s">
        <v>137</v>
      </c>
      <c r="B3" s="3" t="s">
        <v>2</v>
      </c>
      <c r="C3" s="3" t="s">
        <v>3</v>
      </c>
      <c r="D3" s="3" t="s">
        <v>4</v>
      </c>
      <c r="E3" s="3" t="s">
        <v>5</v>
      </c>
    </row>
    <row r="4" customFormat="false" ht="15" hidden="false" customHeight="false" outlineLevel="0" collapsed="false">
      <c r="A4" s="4" t="s">
        <v>138</v>
      </c>
      <c r="B4" s="5" t="s">
        <v>45</v>
      </c>
      <c r="C4" s="5" t="s">
        <v>45</v>
      </c>
      <c r="D4" s="5" t="s">
        <v>45</v>
      </c>
      <c r="E4" s="5" t="s">
        <v>45</v>
      </c>
    </row>
    <row r="5" customFormat="false" ht="15" hidden="false" customHeight="false" outlineLevel="0" collapsed="false">
      <c r="A5" s="6" t="s">
        <v>139</v>
      </c>
      <c r="B5" s="7" t="s">
        <v>45</v>
      </c>
      <c r="C5" s="7" t="s">
        <v>45</v>
      </c>
      <c r="D5" s="7" t="s">
        <v>45</v>
      </c>
      <c r="E5" s="7" t="s">
        <v>45</v>
      </c>
    </row>
    <row r="6" customFormat="false" ht="15" hidden="false" customHeight="false" outlineLevel="0" collapsed="false">
      <c r="A6" s="4" t="s">
        <v>140</v>
      </c>
      <c r="B6" s="5" t="s">
        <v>45</v>
      </c>
      <c r="C6" s="5" t="s">
        <v>45</v>
      </c>
      <c r="D6" s="5" t="s">
        <v>45</v>
      </c>
      <c r="E6" s="5" t="s">
        <v>45</v>
      </c>
    </row>
    <row r="7" customFormat="false" ht="15" hidden="false" customHeight="false" outlineLevel="0" collapsed="false">
      <c r="A7" s="6" t="s">
        <v>141</v>
      </c>
      <c r="B7" s="7" t="s">
        <v>45</v>
      </c>
      <c r="C7" s="7" t="s">
        <v>45</v>
      </c>
      <c r="D7" s="7" t="s">
        <v>45</v>
      </c>
      <c r="E7" s="7" t="s">
        <v>45</v>
      </c>
    </row>
    <row r="8" customFormat="false" ht="15" hidden="false" customHeight="false" outlineLevel="0" collapsed="false">
      <c r="A8" s="4" t="s">
        <v>142</v>
      </c>
      <c r="B8" s="5" t="s">
        <v>143</v>
      </c>
      <c r="C8" s="8" t="s">
        <v>143</v>
      </c>
      <c r="D8" s="8" t="s">
        <v>143</v>
      </c>
      <c r="E8" s="5" t="s">
        <v>143</v>
      </c>
    </row>
    <row r="9" customFormat="false" ht="23.85" hidden="false" customHeight="false" outlineLevel="0" collapsed="false">
      <c r="A9" s="6" t="s">
        <v>144</v>
      </c>
      <c r="B9" s="7" t="s">
        <v>145</v>
      </c>
      <c r="C9" s="8" t="s">
        <v>146</v>
      </c>
      <c r="D9" s="8" t="s">
        <v>147</v>
      </c>
      <c r="E9" s="7" t="s">
        <v>148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2026-03-06T03:35:00Z</dcterms:created>
  <dc:creator>openpyxl</dc:creator>
  <dc:description/>
  <dc:language>en-US</dc:language>
  <cp:lastModifiedBy/>
  <dcterms:modified xsi:type="dcterms:W3CDTF">2026-03-06T03:35:18Z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